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121b7c281e32a0/Documents/BUSINESS/Berlin/Rent List (short)/"/>
    </mc:Choice>
  </mc:AlternateContent>
  <xr:revisionPtr revIDLastSave="17" documentId="8_{4B0B5B75-E5C8-4767-9FC1-EB7F4E907786}" xr6:coauthVersionLast="47" xr6:coauthVersionMax="47" xr10:uidLastSave="{22AD1257-E5FE-42A4-8B65-A9F13ACBDA42}"/>
  <bookViews>
    <workbookView xWindow="-120" yWindow="-120" windowWidth="29040" windowHeight="15720" xr2:uid="{AD13B6C2-0A5F-4F21-907A-7FD0AFBA7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7" i="1" l="1"/>
  <c r="F23" i="1"/>
  <c r="F24" i="1" s="1"/>
  <c r="F29" i="1" s="1"/>
</calcChain>
</file>

<file path=xl/sharedStrings.xml><?xml version="1.0" encoding="utf-8"?>
<sst xmlns="http://schemas.openxmlformats.org/spreadsheetml/2006/main" count="34" uniqueCount="34">
  <si>
    <t>Apartment</t>
  </si>
  <si>
    <t>Tennant</t>
  </si>
  <si>
    <t>Since</t>
  </si>
  <si>
    <t>Size</t>
  </si>
  <si>
    <t>Net Rent</t>
  </si>
  <si>
    <t>TRAUTENBACH, FINN</t>
  </si>
  <si>
    <t>Bastani</t>
  </si>
  <si>
    <t>Santosi</t>
  </si>
  <si>
    <t>Zavalishin</t>
  </si>
  <si>
    <t>Behramovic</t>
  </si>
  <si>
    <t>Baban Bastani</t>
  </si>
  <si>
    <t>15/5/2018</t>
  </si>
  <si>
    <t>Larijani, Sara</t>
  </si>
  <si>
    <t>MANUEL FEDERICO GENOLET ALBERDI</t>
  </si>
  <si>
    <t>Hamid Mafi</t>
  </si>
  <si>
    <t>Loesel</t>
  </si>
  <si>
    <t>Celik</t>
  </si>
  <si>
    <t>Ayala Odenheimer</t>
  </si>
  <si>
    <t>Ersen</t>
  </si>
  <si>
    <t>15/5/01</t>
  </si>
  <si>
    <t>Steinmetz</t>
  </si>
  <si>
    <t>15/2/97</t>
  </si>
  <si>
    <t>Kline</t>
  </si>
  <si>
    <t>Robert and Jacqueline Emmler</t>
  </si>
  <si>
    <t>Omid</t>
  </si>
  <si>
    <t>ZACK, KAREN</t>
  </si>
  <si>
    <t>Güven</t>
  </si>
  <si>
    <t>total space</t>
  </si>
  <si>
    <t>mothly totals</t>
  </si>
  <si>
    <t>annual totals</t>
  </si>
  <si>
    <t>parking monthly</t>
  </si>
  <si>
    <t>parking annual total</t>
  </si>
  <si>
    <t>total annual rent + parking</t>
  </si>
  <si>
    <t>This unit is rented to my son who sublets to Indian students on 6 month contracts. The net is from student rents.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</si>
</sst>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0FE9-E34E-4D94-AA1A-496EB56B5F24}">
  <dimension ref="B2:G29"/>
  <sheetViews>
    <sheetView tabSelected="1" workbookViewId="0">
      <selection activeCell="M6" sqref="M6"/>
    </sheetView>
  </sheetViews>
  <sheetFormatPr defaultRowHeight="15" x14ac:dyDescent="0.25"/>
  <cols>
    <col min="4" max="4" width="18" customWidth="1"/>
  </cols>
  <sheetData>
    <row r="2" spans="2:6" ht="15.7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15.75" x14ac:dyDescent="0.25">
      <c r="B3" s="1">
        <v>1</v>
      </c>
      <c r="C3" s="1" t="s">
        <v>5</v>
      </c>
      <c r="D3" s="2">
        <v>43109</v>
      </c>
      <c r="E3" s="1">
        <v>58.8</v>
      </c>
      <c r="F3" s="1">
        <v>588</v>
      </c>
    </row>
    <row r="4" spans="2:6" ht="15.75" x14ac:dyDescent="0.25">
      <c r="B4" s="1">
        <v>2</v>
      </c>
      <c r="C4" s="1" t="s">
        <v>6</v>
      </c>
      <c r="D4" s="2">
        <v>43105</v>
      </c>
      <c r="E4" s="1">
        <v>44.77</v>
      </c>
      <c r="F4" s="1">
        <v>425</v>
      </c>
    </row>
    <row r="5" spans="2:6" ht="15.75" x14ac:dyDescent="0.25">
      <c r="B5" s="1">
        <v>3</v>
      </c>
      <c r="C5" s="1" t="s">
        <v>7</v>
      </c>
      <c r="D5" s="2">
        <v>41644</v>
      </c>
      <c r="E5" s="1">
        <v>60.57</v>
      </c>
      <c r="F5" s="1">
        <v>575</v>
      </c>
    </row>
    <row r="6" spans="2:6" ht="15.75" x14ac:dyDescent="0.25">
      <c r="B6" s="1">
        <v>4</v>
      </c>
      <c r="C6" s="1" t="s">
        <v>8</v>
      </c>
      <c r="D6" s="2">
        <v>36892</v>
      </c>
      <c r="E6" s="1">
        <v>58.8</v>
      </c>
      <c r="F6" s="1">
        <v>345.74</v>
      </c>
    </row>
    <row r="7" spans="2:6" ht="15.75" x14ac:dyDescent="0.25">
      <c r="B7" s="1">
        <v>5</v>
      </c>
      <c r="C7" s="1" t="s">
        <v>9</v>
      </c>
      <c r="D7" s="2">
        <v>40184</v>
      </c>
      <c r="E7" s="1">
        <v>44.77</v>
      </c>
      <c r="F7" s="1">
        <v>290</v>
      </c>
    </row>
    <row r="8" spans="2:6" ht="15.75" x14ac:dyDescent="0.25">
      <c r="B8" s="1">
        <v>6</v>
      </c>
      <c r="C8" s="1" t="s">
        <v>10</v>
      </c>
      <c r="D8" s="3" t="s">
        <v>11</v>
      </c>
      <c r="E8" s="1">
        <v>33.020000000000003</v>
      </c>
      <c r="F8" s="1">
        <v>330</v>
      </c>
    </row>
    <row r="9" spans="2:6" ht="15.75" x14ac:dyDescent="0.25">
      <c r="B9" s="1">
        <v>7</v>
      </c>
      <c r="C9" s="1" t="s">
        <v>12</v>
      </c>
      <c r="D9" s="2">
        <v>42015</v>
      </c>
      <c r="E9" s="1">
        <v>63.76</v>
      </c>
      <c r="F9" s="1">
        <v>605</v>
      </c>
    </row>
    <row r="10" spans="2:6" ht="15.75" x14ac:dyDescent="0.25">
      <c r="B10" s="1">
        <v>8</v>
      </c>
      <c r="C10" s="1" t="s">
        <v>13</v>
      </c>
      <c r="D10" s="2">
        <v>42014</v>
      </c>
      <c r="E10" s="1">
        <v>58.8</v>
      </c>
      <c r="F10" s="1">
        <v>500</v>
      </c>
    </row>
    <row r="11" spans="2:6" ht="15.75" x14ac:dyDescent="0.25">
      <c r="B11" s="1">
        <v>9</v>
      </c>
      <c r="C11" s="1" t="s">
        <v>14</v>
      </c>
      <c r="D11" s="2">
        <v>43101</v>
      </c>
      <c r="E11" s="1">
        <v>48.42</v>
      </c>
      <c r="F11" s="1">
        <v>357</v>
      </c>
    </row>
    <row r="12" spans="2:6" ht="15.75" x14ac:dyDescent="0.25">
      <c r="B12" s="1">
        <v>10</v>
      </c>
      <c r="C12" s="1" t="s">
        <v>15</v>
      </c>
      <c r="D12" s="2">
        <v>41641</v>
      </c>
      <c r="E12" s="1">
        <v>33.03</v>
      </c>
      <c r="F12" s="1">
        <v>310</v>
      </c>
    </row>
    <row r="13" spans="2:6" ht="15.75" x14ac:dyDescent="0.25">
      <c r="B13" s="1">
        <v>11</v>
      </c>
      <c r="C13" s="1" t="s">
        <v>16</v>
      </c>
      <c r="D13" s="2">
        <v>39453</v>
      </c>
      <c r="E13" s="1">
        <v>64.19</v>
      </c>
      <c r="F13" s="1">
        <v>355</v>
      </c>
    </row>
    <row r="14" spans="2:6" ht="15.75" x14ac:dyDescent="0.25">
      <c r="B14" s="1">
        <v>12</v>
      </c>
      <c r="C14" s="1" t="s">
        <v>17</v>
      </c>
      <c r="D14" s="2">
        <v>44205</v>
      </c>
      <c r="E14" s="1">
        <v>58.83</v>
      </c>
      <c r="F14" s="1">
        <v>600</v>
      </c>
    </row>
    <row r="15" spans="2:6" ht="15.75" x14ac:dyDescent="0.25">
      <c r="B15" s="1">
        <v>13</v>
      </c>
      <c r="C15" s="1" t="s">
        <v>18</v>
      </c>
      <c r="D15" s="3" t="s">
        <v>19</v>
      </c>
      <c r="E15" s="1">
        <v>48.42</v>
      </c>
      <c r="F15" s="1">
        <v>284.70999999999998</v>
      </c>
    </row>
    <row r="16" spans="2:6" ht="15.75" x14ac:dyDescent="0.25">
      <c r="B16" s="1">
        <v>14</v>
      </c>
      <c r="C16" s="1" t="s">
        <v>20</v>
      </c>
      <c r="D16" s="3" t="s">
        <v>21</v>
      </c>
      <c r="E16" s="1">
        <v>33.409999999999997</v>
      </c>
      <c r="F16" s="1">
        <v>227.19</v>
      </c>
    </row>
    <row r="17" spans="2:7" ht="15.75" x14ac:dyDescent="0.25">
      <c r="B17" s="1">
        <v>15</v>
      </c>
      <c r="C17" s="1" t="s">
        <v>22</v>
      </c>
      <c r="D17" s="2">
        <v>41276</v>
      </c>
      <c r="E17" s="1">
        <v>64.19</v>
      </c>
      <c r="F17" s="1">
        <v>1600</v>
      </c>
      <c r="G17" t="s">
        <v>33</v>
      </c>
    </row>
    <row r="18" spans="2:7" ht="15.75" x14ac:dyDescent="0.25">
      <c r="B18" s="1">
        <v>16</v>
      </c>
      <c r="C18" s="1" t="s">
        <v>23</v>
      </c>
      <c r="D18" s="2">
        <v>42373</v>
      </c>
      <c r="E18" s="1">
        <v>58.83</v>
      </c>
      <c r="F18" s="1">
        <v>589</v>
      </c>
    </row>
    <row r="19" spans="2:7" ht="15.75" x14ac:dyDescent="0.25">
      <c r="B19" s="1">
        <v>17</v>
      </c>
      <c r="C19" s="1" t="s">
        <v>24</v>
      </c>
      <c r="D19" s="2">
        <v>44205</v>
      </c>
      <c r="E19" s="1">
        <v>48.42</v>
      </c>
      <c r="F19" s="1">
        <v>500</v>
      </c>
    </row>
    <row r="20" spans="2:7" ht="15.75" x14ac:dyDescent="0.25">
      <c r="B20" s="1">
        <v>18</v>
      </c>
      <c r="C20" s="1" t="s">
        <v>25</v>
      </c>
      <c r="D20" s="2">
        <v>42007</v>
      </c>
      <c r="E20" s="1">
        <v>33.409999999999997</v>
      </c>
      <c r="F20" s="1">
        <v>340</v>
      </c>
    </row>
    <row r="21" spans="2:7" ht="15.75" x14ac:dyDescent="0.25">
      <c r="B21" s="1">
        <v>19</v>
      </c>
      <c r="C21" s="1" t="s">
        <v>26</v>
      </c>
      <c r="D21" s="2">
        <v>40183</v>
      </c>
      <c r="E21" s="1">
        <v>64.19</v>
      </c>
      <c r="F21" s="1">
        <v>356</v>
      </c>
    </row>
    <row r="22" spans="2:7" ht="15.75" x14ac:dyDescent="0.25">
      <c r="B22" s="1"/>
      <c r="C22" s="1"/>
      <c r="D22" s="1" t="s">
        <v>27</v>
      </c>
      <c r="E22" s="1">
        <v>978.62999999999988</v>
      </c>
      <c r="F22" s="1"/>
    </row>
    <row r="23" spans="2:7" ht="15.75" x14ac:dyDescent="0.25">
      <c r="B23" s="1"/>
      <c r="C23" s="1" t="s">
        <v>28</v>
      </c>
      <c r="D23" s="1"/>
      <c r="E23" s="1"/>
      <c r="F23" s="1">
        <f>SUM(F3:F22)</f>
        <v>9177.64</v>
      </c>
    </row>
    <row r="24" spans="2:7" ht="15.75" x14ac:dyDescent="0.25">
      <c r="B24" s="1"/>
      <c r="C24" s="1" t="s">
        <v>29</v>
      </c>
      <c r="D24" s="1"/>
      <c r="E24" s="1"/>
      <c r="F24" s="1">
        <f>F23*12</f>
        <v>110131.68</v>
      </c>
    </row>
    <row r="25" spans="2:7" ht="15.75" x14ac:dyDescent="0.25">
      <c r="B25" s="1"/>
      <c r="C25" s="1"/>
      <c r="D25" s="1"/>
      <c r="E25" s="1"/>
      <c r="F25" s="1"/>
    </row>
    <row r="26" spans="2:7" ht="15.75" x14ac:dyDescent="0.25">
      <c r="B26" s="1"/>
      <c r="C26" s="1" t="s">
        <v>30</v>
      </c>
      <c r="D26" s="1"/>
      <c r="E26" s="1"/>
      <c r="F26" s="1">
        <v>1400</v>
      </c>
    </row>
    <row r="27" spans="2:7" ht="15.75" x14ac:dyDescent="0.25">
      <c r="B27" s="1"/>
      <c r="C27" s="1" t="s">
        <v>31</v>
      </c>
      <c r="D27" s="1"/>
      <c r="E27" s="1"/>
      <c r="F27" s="1">
        <f>F26*12</f>
        <v>16800</v>
      </c>
    </row>
    <row r="28" spans="2:7" ht="15.75" x14ac:dyDescent="0.25">
      <c r="B28" s="1"/>
      <c r="C28" s="1"/>
      <c r="D28" s="1"/>
      <c r="E28" s="1"/>
      <c r="F28" s="1"/>
    </row>
    <row r="29" spans="2:7" ht="15.75" x14ac:dyDescent="0.25">
      <c r="B29" s="1"/>
      <c r="C29" s="1" t="s">
        <v>32</v>
      </c>
      <c r="D29" s="1"/>
      <c r="E29" s="1"/>
      <c r="F29" s="1">
        <f>F24+F27</f>
        <v>126931.68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Kline</dc:creator>
  <cp:lastModifiedBy>M Kline</cp:lastModifiedBy>
  <dcterms:created xsi:type="dcterms:W3CDTF">2022-07-06T10:37:27Z</dcterms:created>
  <dcterms:modified xsi:type="dcterms:W3CDTF">2025-09-30T04:12:38Z</dcterms:modified>
</cp:coreProperties>
</file>